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ikde\Desktop\"/>
    </mc:Choice>
  </mc:AlternateContent>
  <xr:revisionPtr revIDLastSave="0" documentId="13_ncr:1_{82B4CA7C-9BD0-47AC-A436-22C327D8E8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  <sheet name="Leads" sheetId="2" r:id="rId2"/>
    <sheet name="Customers" sheetId="3" r:id="rId3"/>
    <sheet name="Discou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4" l="1"/>
  <c r="K2" i="4"/>
</calcChain>
</file>

<file path=xl/sharedStrings.xml><?xml version="1.0" encoding="utf-8"?>
<sst xmlns="http://schemas.openxmlformats.org/spreadsheetml/2006/main" count="96" uniqueCount="65">
  <si>
    <t>ID</t>
  </si>
  <si>
    <t>Name</t>
  </si>
  <si>
    <t>Money</t>
  </si>
  <si>
    <t>Source</t>
  </si>
  <si>
    <t>Date</t>
  </si>
  <si>
    <t>Customer</t>
  </si>
  <si>
    <t>Date First Contact</t>
  </si>
  <si>
    <t>Their Problem</t>
  </si>
  <si>
    <t>Notes</t>
  </si>
  <si>
    <t>Next action</t>
  </si>
  <si>
    <t>T_0000</t>
  </si>
  <si>
    <t>Next action date</t>
  </si>
  <si>
    <t>Status</t>
  </si>
  <si>
    <t>Contact Type</t>
  </si>
  <si>
    <t>Contact Value</t>
  </si>
  <si>
    <t>L_0000</t>
  </si>
  <si>
    <t>Test</t>
  </si>
  <si>
    <t>-</t>
  </si>
  <si>
    <t>Other</t>
  </si>
  <si>
    <t>To test</t>
  </si>
  <si>
    <t>New</t>
  </si>
  <si>
    <t>Eitaa</t>
  </si>
  <si>
    <t>https://eitaa.com/totest</t>
  </si>
  <si>
    <t>Code</t>
  </si>
  <si>
    <t>Type</t>
  </si>
  <si>
    <t>Date Became Customer</t>
  </si>
  <si>
    <t>What they bought</t>
  </si>
  <si>
    <t>Amount</t>
  </si>
  <si>
    <t>Total paid</t>
  </si>
  <si>
    <t>Valid From</t>
  </si>
  <si>
    <t>Delivery date</t>
  </si>
  <si>
    <t>Valid Until</t>
  </si>
  <si>
    <t>Max uses</t>
  </si>
  <si>
    <t>Next follow up task</t>
  </si>
  <si>
    <t>Used count</t>
  </si>
  <si>
    <t>Next follow-up date</t>
  </si>
  <si>
    <t>Given to</t>
  </si>
  <si>
    <t>Reason</t>
  </si>
  <si>
    <t>Referral given?</t>
  </si>
  <si>
    <t>Active?</t>
  </si>
  <si>
    <t>Testimonial Stars</t>
  </si>
  <si>
    <t>Used?</t>
  </si>
  <si>
    <t>Testimonial Text</t>
  </si>
  <si>
    <t>L_0001</t>
  </si>
  <si>
    <t>ارشیا علائی</t>
  </si>
  <si>
    <t>D_0000</t>
  </si>
  <si>
    <t>In Person</t>
  </si>
  <si>
    <t>TEST100X</t>
  </si>
  <si>
    <t>Percentage</t>
  </si>
  <si>
    <t>?</t>
  </si>
  <si>
    <t>Ask their "problem"</t>
  </si>
  <si>
    <t>C_0000</t>
  </si>
  <si>
    <t>Phone</t>
  </si>
  <si>
    <t>09334048974</t>
  </si>
  <si>
    <t>Website Blueprint</t>
  </si>
  <si>
    <t>Awesome.</t>
  </si>
  <si>
    <t>C_0001</t>
  </si>
  <si>
    <t>آقای ملکی</t>
  </si>
  <si>
    <t>Remind</t>
  </si>
  <si>
    <t>https://eitaa.com/moshaver14</t>
  </si>
  <si>
    <t>C_0002</t>
  </si>
  <si>
    <t>آقای بهرامی</t>
  </si>
  <si>
    <t>Send Qs</t>
  </si>
  <si>
    <t>https://eitaa.com/JustBahrami</t>
  </si>
  <si>
    <t>Blueprinting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</si>
</sst>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434343"/>
      <name val="Roboto"/>
    </font>
    <font>
      <u/>
      <sz val="10"/>
      <color rgb="FF434343"/>
      <name val="Arial"/>
      <scheme val="minor"/>
    </font>
    <font>
      <u/>
      <sz val="10"/>
      <color rgb="FF0000FF"/>
      <name val="Roboto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Transactions-style" pivot="0" count="4" xr9:uid="{00000000-0011-0000-FFFF-FFFF00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Leads-style" pivot="0" count="4" xr9:uid="{00000000-0011-0000-FFFF-FFFF01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Customers-style" pivot="0" count="4" xr9:uid="{00000000-0011-0000-FFFF-FFFF02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Discounts-style" pivot="0" count="4" xr9:uid="{00000000-0011-0000-FFFF-FFFF03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E2" headerRowDxfId="3">
  <tableColumns count="5">
    <tableColumn id="1" xr3:uid="{00000000-0010-0000-0000-000001000000}" name="ID"/>
    <tableColumn id="2" xr3:uid="{00000000-0010-0000-0000-000002000000}" name="Money"/>
    <tableColumn id="3" xr3:uid="{00000000-0010-0000-0000-000003000000}" name="Date"/>
    <tableColumn id="4" xr3:uid="{00000000-0010-0000-0000-000004000000}" name="Customer"/>
    <tableColumn id="5" xr3:uid="{00000000-0010-0000-0000-000005000000}" name="Notes"/>
  </tableColumns>
  <tableStyleInfo name="Transactio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ads" displayName="Leads" ref="A1:K3" headerRowDxfId="2">
  <tableColumns count="11">
    <tableColumn id="1" xr3:uid="{00000000-0010-0000-0100-000001000000}" name="ID"/>
    <tableColumn id="2" xr3:uid="{00000000-0010-0000-0100-000002000000}" name="Name"/>
    <tableColumn id="3" xr3:uid="{00000000-0010-0000-0100-000003000000}" name="Source"/>
    <tableColumn id="4" xr3:uid="{00000000-0010-0000-0100-000004000000}" name="Date First Contact"/>
    <tableColumn id="5" xr3:uid="{00000000-0010-0000-0100-000005000000}" name="Their Problem"/>
    <tableColumn id="6" xr3:uid="{00000000-0010-0000-0100-000006000000}" name="Next action"/>
    <tableColumn id="7" xr3:uid="{00000000-0010-0000-0100-000007000000}" name="Next action date"/>
    <tableColumn id="8" xr3:uid="{00000000-0010-0000-0100-000008000000}" name="Status"/>
    <tableColumn id="9" xr3:uid="{00000000-0010-0000-0100-000009000000}" name="Contact Type"/>
    <tableColumn id="10" xr3:uid="{00000000-0010-0000-0100-00000A000000}" name="Contact Value"/>
    <tableColumn id="11" xr3:uid="{00000000-0010-0000-0100-00000B000000}" name="Notes"/>
  </tableColumns>
  <tableStyleInfo name="Lead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s" displayName="Customers" ref="A1:P4" headerRowDxfId="1">
  <tableColumns count="16">
    <tableColumn id="1" xr3:uid="{00000000-0010-0000-0200-000001000000}" name="ID"/>
    <tableColumn id="2" xr3:uid="{00000000-0010-0000-0200-000002000000}" name="Name"/>
    <tableColumn id="3" xr3:uid="{00000000-0010-0000-0200-000003000000}" name="Source"/>
    <tableColumn id="4" xr3:uid="{00000000-0010-0000-0200-000004000000}" name="Date Became Customer"/>
    <tableColumn id="5" xr3:uid="{00000000-0010-0000-0200-000005000000}" name="What they bought"/>
    <tableColumn id="6" xr3:uid="{00000000-0010-0000-0200-000006000000}" name="Total paid"/>
    <tableColumn id="7" xr3:uid="{00000000-0010-0000-0200-000007000000}" name="Delivery date"/>
    <tableColumn id="8" xr3:uid="{00000000-0010-0000-0200-000008000000}" name="Next follow up task"/>
    <tableColumn id="9" xr3:uid="{00000000-0010-0000-0200-000009000000}" name="Next follow-up date"/>
    <tableColumn id="10" xr3:uid="{00000000-0010-0000-0200-00000A000000}" name="Referral given?"/>
    <tableColumn id="11" xr3:uid="{00000000-0010-0000-0200-00000B000000}" name="Testimonial Stars"/>
    <tableColumn id="12" xr3:uid="{00000000-0010-0000-0200-00000C000000}" name="Testimonial Text"/>
    <tableColumn id="13" xr3:uid="{00000000-0010-0000-0200-00000D000000}" name="Status"/>
    <tableColumn id="14" xr3:uid="{00000000-0010-0000-0200-00000E000000}" name="Contact Type"/>
    <tableColumn id="15" xr3:uid="{00000000-0010-0000-0200-00000F000000}" name="Contact Value"/>
    <tableColumn id="16" xr3:uid="{00000000-0010-0000-0200-000010000000}" name="Notes"/>
  </tableColumns>
  <tableStyleInfo name="Customer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scounts" displayName="Discounts" ref="A1:M2" headerRowDxfId="0">
  <tableColumns count="13">
    <tableColumn id="1" xr3:uid="{00000000-0010-0000-0300-000001000000}" name="ID"/>
    <tableColumn id="2" xr3:uid="{00000000-0010-0000-0300-000002000000}" name="Code"/>
    <tableColumn id="3" xr3:uid="{00000000-0010-0000-0300-000003000000}" name="Type"/>
    <tableColumn id="4" xr3:uid="{00000000-0010-0000-0300-000004000000}" name="Amount"/>
    <tableColumn id="5" xr3:uid="{00000000-0010-0000-0300-000005000000}" name="Valid From"/>
    <tableColumn id="6" xr3:uid="{00000000-0010-0000-0300-000006000000}" name="Valid Until"/>
    <tableColumn id="7" xr3:uid="{00000000-0010-0000-0300-000007000000}" name="Max uses"/>
    <tableColumn id="8" xr3:uid="{00000000-0010-0000-0300-000008000000}" name="Used count"/>
    <tableColumn id="9" xr3:uid="{00000000-0010-0000-0300-000009000000}" name="Given to"/>
    <tableColumn id="10" xr3:uid="{00000000-0010-0000-0300-00000A000000}" name="Reason"/>
    <tableColumn id="11" xr3:uid="{00000000-0010-0000-0300-00000B000000}" name="Active?"/>
    <tableColumn id="12" xr3:uid="{00000000-0010-0000-0300-00000C000000}" name="Used?"/>
    <tableColumn id="13" xr3:uid="{00000000-0010-0000-0300-00000D000000}" name="Notes"/>
  </tableColumns>
  <tableStyleInfo name="Discou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eitaa.com/totes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itaa.com/JustBahrami" TargetMode="External"/><Relationship Id="rId2" Type="http://schemas.openxmlformats.org/officeDocument/2006/relationships/hyperlink" Target="https://eitaa.com/moshaver14" TargetMode="External"/><Relationship Id="rId1" Type="http://schemas.openxmlformats.org/officeDocument/2006/relationships/hyperlink" Target="https://eitaa.com/totest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2.6328125" defaultRowHeight="15.75" customHeight="1" x14ac:dyDescent="0.25"/>
  <cols>
    <col min="1" max="1" width="15.26953125" customWidth="1"/>
    <col min="2" max="2" width="18" customWidth="1"/>
    <col min="3" max="3" width="27.90625" customWidth="1"/>
    <col min="4" max="4" width="21.08984375" customWidth="1"/>
    <col min="5" max="5" width="54.7265625" customWidth="1"/>
  </cols>
  <sheetData>
    <row r="1" spans="1:5" ht="22.5" customHeight="1" x14ac:dyDescent="0.25">
      <c r="A1" s="9" t="s">
        <v>0</v>
      </c>
      <c r="B1" s="9" t="s">
        <v>2</v>
      </c>
      <c r="C1" s="9" t="s">
        <v>4</v>
      </c>
      <c r="D1" s="9" t="s">
        <v>5</v>
      </c>
      <c r="E1" s="9" t="s">
        <v>8</v>
      </c>
    </row>
    <row r="2" spans="1:5" ht="22.5" customHeight="1" x14ac:dyDescent="0.25">
      <c r="A2" s="1" t="s">
        <v>10</v>
      </c>
      <c r="B2" s="1">
        <v>0</v>
      </c>
      <c r="C2" s="2">
        <v>46281</v>
      </c>
      <c r="D2" s="3" t="s">
        <v>17</v>
      </c>
      <c r="E2" s="1" t="s">
        <v>19</v>
      </c>
    </row>
  </sheetData>
  <conditionalFormatting sqref="B2:B999">
    <cfRule type="cellIs" dxfId="5" priority="1" operator="greaterThan">
      <formula>0</formula>
    </cfRule>
    <cfRule type="cellIs" dxfId="4" priority="2" operator="lessThan">
      <formula>0</formula>
    </cfRule>
  </conditionalFormatting>
  <dataValidations count="3">
    <dataValidation type="custom" allowBlank="1" showDropDown="1" sqref="C2" xr:uid="{00000000-0002-0000-0000-000000000000}">
      <formula1>OR(NOT(ISERROR(DATEVALUE(C2))), AND(ISNUMBER(C2), LEFT(CELL("format", C2))="D"))</formula1>
    </dataValidation>
    <dataValidation type="custom" allowBlank="1" showDropDown="1" sqref="B2" xr:uid="{00000000-0002-0000-0000-000001000000}">
      <formula1>AND(ISNUMBER(B2),(NOT(OR(NOT(ISERROR(DATEVALUE(B2))), AND(ISNUMBER(B2), LEFT(CELL("format", B2))="D")))))</formula1>
    </dataValidation>
    <dataValidation allowBlank="1" showDropDown="1" sqref="A2 D2:E2" xr:uid="{00000000-0002-0000-0000-000002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"/>
  <sheetViews>
    <sheetView workbookViewId="0">
      <pane ySplit="1" topLeftCell="A2" activePane="bottomLeft" state="frozen"/>
      <selection pane="bottomLeft" activeCell="A10" sqref="A10"/>
    </sheetView>
  </sheetViews>
  <sheetFormatPr defaultColWidth="12.6328125" defaultRowHeight="15.75" customHeight="1" x14ac:dyDescent="0.25"/>
  <cols>
    <col min="3" max="3" width="13.90625" customWidth="1"/>
    <col min="4" max="4" width="22.08984375" customWidth="1"/>
    <col min="5" max="6" width="18.90625" customWidth="1"/>
    <col min="7" max="7" width="20.90625" customWidth="1"/>
    <col min="8" max="8" width="18.90625" customWidth="1"/>
    <col min="9" max="9" width="18.453125" customWidth="1"/>
    <col min="10" max="10" width="23.6328125" customWidth="1"/>
    <col min="11" max="11" width="42.6328125" customWidth="1"/>
  </cols>
  <sheetData>
    <row r="1" spans="1:11" ht="22.5" customHeight="1" x14ac:dyDescent="0.25">
      <c r="A1" s="9" t="s">
        <v>0</v>
      </c>
      <c r="B1" s="9" t="s">
        <v>1</v>
      </c>
      <c r="C1" s="9" t="s">
        <v>3</v>
      </c>
      <c r="D1" s="9" t="s">
        <v>6</v>
      </c>
      <c r="E1" s="9" t="s">
        <v>7</v>
      </c>
      <c r="F1" s="9" t="s">
        <v>9</v>
      </c>
      <c r="G1" s="9" t="s">
        <v>11</v>
      </c>
      <c r="H1" s="9" t="s">
        <v>12</v>
      </c>
      <c r="I1" s="9" t="s">
        <v>13</v>
      </c>
      <c r="J1" s="9" t="s">
        <v>14</v>
      </c>
      <c r="K1" s="9" t="s">
        <v>8</v>
      </c>
    </row>
    <row r="2" spans="1:11" ht="22.5" customHeight="1" x14ac:dyDescent="0.25">
      <c r="A2" s="1" t="s">
        <v>15</v>
      </c>
      <c r="B2" s="1" t="s">
        <v>16</v>
      </c>
      <c r="C2" s="1" t="s">
        <v>18</v>
      </c>
      <c r="D2" s="4">
        <v>46286</v>
      </c>
      <c r="E2" s="1" t="s">
        <v>17</v>
      </c>
      <c r="F2" s="1" t="s">
        <v>17</v>
      </c>
      <c r="G2" s="4"/>
      <c r="H2" s="1" t="s">
        <v>20</v>
      </c>
      <c r="I2" s="1" t="s">
        <v>21</v>
      </c>
      <c r="J2" s="5" t="s">
        <v>22</v>
      </c>
      <c r="K2" s="1" t="s">
        <v>19</v>
      </c>
    </row>
    <row r="3" spans="1:11" ht="22.5" customHeight="1" x14ac:dyDescent="0.25">
      <c r="A3" s="1" t="s">
        <v>43</v>
      </c>
      <c r="B3" s="1" t="s">
        <v>44</v>
      </c>
      <c r="C3" s="1" t="s">
        <v>46</v>
      </c>
      <c r="D3" s="4">
        <v>46293</v>
      </c>
      <c r="E3" s="1" t="s">
        <v>49</v>
      </c>
      <c r="F3" s="1" t="s">
        <v>50</v>
      </c>
      <c r="G3" s="4"/>
      <c r="H3" s="1" t="s">
        <v>20</v>
      </c>
      <c r="I3" s="1" t="s">
        <v>52</v>
      </c>
      <c r="J3" s="6" t="s">
        <v>53</v>
      </c>
      <c r="K3" s="1"/>
    </row>
  </sheetData>
  <dataValidations count="5">
    <dataValidation type="list" allowBlank="1" sqref="C2:C3" xr:uid="{00000000-0002-0000-0100-000000000000}">
      <formula1>"Other,In Person"</formula1>
    </dataValidation>
    <dataValidation type="custom" allowBlank="1" showDropDown="1" sqref="D2:D3 G2:G3" xr:uid="{00000000-0002-0000-0100-000001000000}">
      <formula1>OR(NOT(ISERROR(DATEVALUE(D2))), AND(ISNUMBER(D2), LEFT(CELL("format", D2))="D"))</formula1>
    </dataValidation>
    <dataValidation type="list" allowBlank="1" sqref="H2:H3" xr:uid="{00000000-0002-0000-0100-000002000000}">
      <formula1>"New,Converting,Waiting,Won,Lost"</formula1>
    </dataValidation>
    <dataValidation allowBlank="1" showDropDown="1" sqref="J2:J3" xr:uid="{00000000-0002-0000-0100-000003000000}"/>
    <dataValidation type="list" allowBlank="1" sqref="I2:I3" xr:uid="{00000000-0002-0000-0100-000004000000}">
      <formula1>"Eitaa,Phone,Email"</formula1>
    </dataValidation>
  </dataValidations>
  <hyperlinks>
    <hyperlink ref="J2" r:id="rId1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4"/>
  <sheetViews>
    <sheetView workbookViewId="0">
      <pane ySplit="1" topLeftCell="A2" activePane="bottomLeft" state="frozen"/>
      <selection pane="bottomLeft" activeCell="O10" sqref="O10"/>
    </sheetView>
  </sheetViews>
  <sheetFormatPr defaultColWidth="12.6328125" defaultRowHeight="15.75" customHeight="1" x14ac:dyDescent="0.25"/>
  <cols>
    <col min="1" max="1" width="7.90625" customWidth="1"/>
    <col min="2" max="2" width="10" customWidth="1"/>
    <col min="3" max="3" width="13.90625" customWidth="1"/>
    <col min="4" max="4" width="26.26953125" customWidth="1"/>
    <col min="5" max="5" width="21.7265625" customWidth="1"/>
    <col min="6" max="6" width="16.08984375" customWidth="1"/>
    <col min="7" max="7" width="18.26953125" customWidth="1"/>
    <col min="8" max="8" width="19.7265625" customWidth="1"/>
    <col min="9" max="9" width="23.08984375" customWidth="1"/>
    <col min="10" max="10" width="19.6328125" customWidth="1"/>
    <col min="11" max="11" width="18.36328125" customWidth="1"/>
    <col min="12" max="12" width="21" customWidth="1"/>
    <col min="13" max="13" width="13.453125" customWidth="1"/>
    <col min="14" max="14" width="18.453125" customWidth="1"/>
    <col min="15" max="15" width="28.08984375" customWidth="1"/>
    <col min="16" max="16" width="9.90625" customWidth="1"/>
  </cols>
  <sheetData>
    <row r="1" spans="1:16" ht="22.5" customHeight="1" x14ac:dyDescent="0.25">
      <c r="A1" s="9" t="s">
        <v>0</v>
      </c>
      <c r="B1" s="9" t="s">
        <v>1</v>
      </c>
      <c r="C1" s="9" t="s">
        <v>3</v>
      </c>
      <c r="D1" s="9" t="s">
        <v>25</v>
      </c>
      <c r="E1" s="9" t="s">
        <v>26</v>
      </c>
      <c r="F1" s="9" t="s">
        <v>28</v>
      </c>
      <c r="G1" s="9" t="s">
        <v>30</v>
      </c>
      <c r="H1" s="9" t="s">
        <v>33</v>
      </c>
      <c r="I1" s="9" t="s">
        <v>35</v>
      </c>
      <c r="J1" s="9" t="s">
        <v>38</v>
      </c>
      <c r="K1" s="9" t="s">
        <v>40</v>
      </c>
      <c r="L1" s="9" t="s">
        <v>42</v>
      </c>
      <c r="M1" s="9" t="s">
        <v>12</v>
      </c>
      <c r="N1" s="9" t="s">
        <v>13</v>
      </c>
      <c r="O1" s="9" t="s">
        <v>14</v>
      </c>
      <c r="P1" s="9" t="s">
        <v>8</v>
      </c>
    </row>
    <row r="2" spans="1:16" ht="22.5" customHeight="1" x14ac:dyDescent="0.25">
      <c r="A2" s="1" t="s">
        <v>51</v>
      </c>
      <c r="B2" s="1" t="s">
        <v>16</v>
      </c>
      <c r="C2" s="1" t="s">
        <v>18</v>
      </c>
      <c r="D2" s="2">
        <v>46286</v>
      </c>
      <c r="E2" s="1" t="s">
        <v>54</v>
      </c>
      <c r="F2" s="1">
        <v>0</v>
      </c>
      <c r="G2" s="2">
        <v>46286</v>
      </c>
      <c r="H2" s="1" t="s">
        <v>17</v>
      </c>
      <c r="I2" s="4">
        <v>46286</v>
      </c>
      <c r="J2" s="7" t="b">
        <v>0</v>
      </c>
      <c r="K2" s="10">
        <v>4</v>
      </c>
      <c r="L2" s="3" t="s">
        <v>55</v>
      </c>
      <c r="M2" s="1" t="s">
        <v>18</v>
      </c>
      <c r="N2" s="1" t="s">
        <v>21</v>
      </c>
      <c r="O2" s="8" t="s">
        <v>22</v>
      </c>
    </row>
    <row r="3" spans="1:16" ht="22.5" customHeight="1" x14ac:dyDescent="0.25">
      <c r="A3" s="1" t="s">
        <v>56</v>
      </c>
      <c r="B3" s="1" t="s">
        <v>57</v>
      </c>
      <c r="C3" s="1" t="s">
        <v>46</v>
      </c>
      <c r="D3" s="2">
        <v>46288</v>
      </c>
      <c r="E3" s="1" t="s">
        <v>54</v>
      </c>
      <c r="F3" s="1">
        <v>0</v>
      </c>
      <c r="G3" s="2"/>
      <c r="H3" s="1" t="s">
        <v>58</v>
      </c>
      <c r="I3" s="4">
        <v>46295</v>
      </c>
      <c r="J3" s="7" t="b">
        <v>0</v>
      </c>
      <c r="K3" s="10"/>
      <c r="L3" s="3"/>
      <c r="M3" s="1" t="s">
        <v>64</v>
      </c>
      <c r="N3" s="1" t="s">
        <v>21</v>
      </c>
      <c r="O3" s="8" t="s">
        <v>59</v>
      </c>
    </row>
    <row r="4" spans="1:16" ht="22.5" customHeight="1" x14ac:dyDescent="0.25">
      <c r="A4" s="1" t="s">
        <v>60</v>
      </c>
      <c r="B4" s="1" t="s">
        <v>61</v>
      </c>
      <c r="C4" s="1" t="s">
        <v>46</v>
      </c>
      <c r="D4" s="2">
        <v>46293</v>
      </c>
      <c r="E4" s="1" t="s">
        <v>54</v>
      </c>
      <c r="F4" s="1">
        <v>0</v>
      </c>
      <c r="G4" s="2"/>
      <c r="H4" s="1" t="s">
        <v>62</v>
      </c>
      <c r="I4" s="4">
        <v>46293</v>
      </c>
      <c r="J4" s="7" t="b">
        <v>0</v>
      </c>
      <c r="K4" s="10"/>
      <c r="L4" s="3"/>
      <c r="M4" s="1" t="s">
        <v>64</v>
      </c>
      <c r="N4" s="1" t="s">
        <v>21</v>
      </c>
      <c r="O4" s="8" t="s">
        <v>63</v>
      </c>
    </row>
  </sheetData>
  <dataValidations count="7">
    <dataValidation type="list" allowBlank="1" sqref="C2:C4" xr:uid="{00000000-0002-0000-0200-000000000000}">
      <formula1>"Other,In Person"</formula1>
    </dataValidation>
    <dataValidation type="custom" allowBlank="1" showDropDown="1" sqref="I2:I4 D2:D4 G2:G4" xr:uid="{00000000-0002-0000-0200-000001000000}">
      <formula1>OR(NOT(ISERROR(DATEVALUE(D2))), AND(ISNUMBER(D2), LEFT(CELL("format", D2))="D"))</formula1>
    </dataValidation>
    <dataValidation type="list" allowBlank="1" sqref="E2:E4" xr:uid="{00000000-0002-0000-0200-000003000000}">
      <formula1>"Website Blueprint"</formula1>
    </dataValidation>
    <dataValidation type="custom" allowBlank="1" showDropDown="1" sqref="F2:F4" xr:uid="{00000000-0002-0000-0200-000004000000}">
      <formula1>AND(ISNUMBER(F2),(NOT(OR(NOT(ISERROR(DATEVALUE(F2))), AND(ISNUMBER(F2), LEFT(CELL("format", F2))="D")))))</formula1>
    </dataValidation>
    <dataValidation type="list" allowBlank="1" sqref="M2:M4" xr:uid="{00000000-0002-0000-0200-000005000000}">
      <formula1>"Other,Blueprinting,Delivered,Waiting,Churned"</formula1>
    </dataValidation>
    <dataValidation allowBlank="1" showDropDown="1" sqref="L2:L4" xr:uid="{00000000-0002-0000-0200-000006000000}"/>
    <dataValidation type="list" allowBlank="1" sqref="N2:N4" xr:uid="{00000000-0002-0000-0200-000007000000}">
      <formula1>"Eitaa,Phone,Email"</formula1>
    </dataValidation>
  </dataValidations>
  <hyperlinks>
    <hyperlink ref="O2" r:id="rId1" xr:uid="{00000000-0004-0000-0200-000000000000}"/>
    <hyperlink ref="O3" r:id="rId2" xr:uid="{00000000-0004-0000-0200-000001000000}"/>
    <hyperlink ref="O4" r:id="rId3" xr:uid="{00000000-0004-0000-0200-000002000000}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"/>
  <sheetViews>
    <sheetView topLeftCell="F1" workbookViewId="0">
      <pane ySplit="1" topLeftCell="A2" activePane="bottomLeft" state="frozen"/>
      <selection pane="bottomLeft" sqref="A1:M1"/>
    </sheetView>
  </sheetViews>
  <sheetFormatPr defaultColWidth="12.6328125" defaultRowHeight="15.75" customHeight="1" x14ac:dyDescent="0.25"/>
  <cols>
    <col min="3" max="3" width="18.453125" customWidth="1"/>
    <col min="5" max="5" width="16.7265625" customWidth="1"/>
    <col min="6" max="6" width="16.26953125" customWidth="1"/>
    <col min="7" max="7" width="15.90625" customWidth="1"/>
    <col min="8" max="8" width="17.08984375" customWidth="1"/>
    <col min="11" max="12" width="14.08984375" customWidth="1"/>
    <col min="13" max="13" width="42.6328125" customWidth="1"/>
  </cols>
  <sheetData>
    <row r="1" spans="1:13" ht="22.5" customHeight="1" x14ac:dyDescent="0.25">
      <c r="A1" s="9" t="s">
        <v>0</v>
      </c>
      <c r="B1" s="9" t="s">
        <v>23</v>
      </c>
      <c r="C1" s="9" t="s">
        <v>24</v>
      </c>
      <c r="D1" s="9" t="s">
        <v>27</v>
      </c>
      <c r="E1" s="9" t="s">
        <v>29</v>
      </c>
      <c r="F1" s="9" t="s">
        <v>31</v>
      </c>
      <c r="G1" s="9" t="s">
        <v>32</v>
      </c>
      <c r="H1" s="9" t="s">
        <v>34</v>
      </c>
      <c r="I1" s="9" t="s">
        <v>36</v>
      </c>
      <c r="J1" s="9" t="s">
        <v>37</v>
      </c>
      <c r="K1" s="9" t="s">
        <v>39</v>
      </c>
      <c r="L1" s="9" t="s">
        <v>41</v>
      </c>
      <c r="M1" s="9" t="s">
        <v>8</v>
      </c>
    </row>
    <row r="2" spans="1:13" ht="22.5" customHeight="1" x14ac:dyDescent="0.25">
      <c r="A2" s="1" t="s">
        <v>45</v>
      </c>
      <c r="B2" s="1" t="s">
        <v>47</v>
      </c>
      <c r="C2" s="1" t="s">
        <v>48</v>
      </c>
      <c r="D2" s="1">
        <v>100</v>
      </c>
      <c r="E2" s="4">
        <v>46266</v>
      </c>
      <c r="F2" s="4">
        <v>46295</v>
      </c>
      <c r="G2" s="1">
        <v>1</v>
      </c>
      <c r="H2" s="1">
        <v>0</v>
      </c>
      <c r="I2" s="1" t="s">
        <v>51</v>
      </c>
      <c r="J2" s="1" t="s">
        <v>17</v>
      </c>
      <c r="K2" s="7" t="b">
        <f ca="1">AND(Discounts[Valid From] &lt;= TODAY(), TODAY() &lt;= Discounts[Valid Until])</f>
        <v>1</v>
      </c>
      <c r="L2" s="7" t="b">
        <f>Discounts[Used count] &gt;= Discounts[Max uses]</f>
        <v>0</v>
      </c>
      <c r="M2" s="1" t="s">
        <v>19</v>
      </c>
    </row>
  </sheetData>
  <dataValidations count="3">
    <dataValidation type="list" allowBlank="1" sqref="C2" xr:uid="{00000000-0002-0000-0300-000000000000}">
      <formula1>"Percentage,Fixed"</formula1>
    </dataValidation>
    <dataValidation type="custom" allowBlank="1" showDropDown="1" sqref="E2:F2" xr:uid="{00000000-0002-0000-0300-000001000000}">
      <formula1>OR(NOT(ISERROR(DATEVALUE(E2))), AND(ISNUMBER(E2), LEFT(CELL("format", E2))="D"))</formula1>
    </dataValidation>
    <dataValidation type="custom" allowBlank="1" showDropDown="1" sqref="G2:H2" xr:uid="{00000000-0002-0000-0300-000002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Leads</vt:lpstr>
      <vt:lpstr>Customers</vt:lpstr>
      <vt:lpstr>Discounts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Mahdi Bahrami</cp:lastModifiedBy>
  <dcterms:modified xsi:type="dcterms:W3CDTF">2026-09-28T08:05:15Z</dcterms:modified>
</cp:coreProperties>
</file>